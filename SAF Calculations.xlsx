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F Calculations" sheetId="1" r:id="rId4"/>
  </sheets>
  <definedNames/>
  <calcPr/>
</workbook>
</file>

<file path=xl/sharedStrings.xml><?xml version="1.0" encoding="utf-8"?>
<sst xmlns="http://schemas.openxmlformats.org/spreadsheetml/2006/main" count="91" uniqueCount="70">
  <si>
    <t>Parameters</t>
  </si>
  <si>
    <t>Value</t>
  </si>
  <si>
    <t>Unit</t>
  </si>
  <si>
    <t>Source</t>
  </si>
  <si>
    <t>Amount of Fuel for Aviation Industry PH</t>
  </si>
  <si>
    <t>barrels per day</t>
  </si>
  <si>
    <t>https://www.theglobaleconomy.com/rankings/jet_fuel_consumption/</t>
  </si>
  <si>
    <t>Conversion to liters</t>
  </si>
  <si>
    <t>liters per hour</t>
  </si>
  <si>
    <t>e-Kerosene energy content</t>
  </si>
  <si>
    <t>kWh per liter</t>
  </si>
  <si>
    <t>https://www.wssenergy.com/post/is-e-fuel-production-a-responsible-way-to-use-renewable-energy%3F</t>
  </si>
  <si>
    <t>Energy to produce efuel blend</t>
  </si>
  <si>
    <t>Jet fuel fraction of e-fuel blend</t>
  </si>
  <si>
    <t>l e kerosene per liter efuel</t>
  </si>
  <si>
    <t>Energy to produce e-kerosene (DAC)</t>
  </si>
  <si>
    <t>Fuel Aviation Consumption</t>
  </si>
  <si>
    <t>Power Requirement</t>
  </si>
  <si>
    <t>MW</t>
  </si>
  <si>
    <t>Total Solar Potential</t>
  </si>
  <si>
    <t>GW</t>
  </si>
  <si>
    <t>Solar Potential Commercial</t>
  </si>
  <si>
    <t>https://www.withersworldwide.com/en-gb/insight/read/key-considerations-for-renewable-energy-investments-in-the-philippines#:~:text=A%20powerhouse%20of%20potential,with%20only%201%2C190%20megawatts%20developed.</t>
  </si>
  <si>
    <t>Solar Installed Capacity</t>
  </si>
  <si>
    <t>Total Wind Potential</t>
  </si>
  <si>
    <t>Wind Potential Commercial</t>
  </si>
  <si>
    <t>Wind Installed Capacity</t>
  </si>
  <si>
    <t>Renewable Energy Installed Capacity</t>
  </si>
  <si>
    <t>Capacity Factor Solar</t>
  </si>
  <si>
    <t>Capacity Factor Wind</t>
  </si>
  <si>
    <t>https://aboitizpower.com/news/power-generation/powering-the-philippine-economy-electricity-generation-in-economic-development#:~:text=Intermittencies%20can%20be%20evident%20in,them%20commercially%20uncompetitive%20against%20nonrenewables.</t>
  </si>
  <si>
    <t>Current RE Capacity</t>
  </si>
  <si>
    <t>Current RE share</t>
  </si>
  <si>
    <t>2030 RE Capacity Goal</t>
  </si>
  <si>
    <t>https://energytracker.asia/renewable-energy-in-the-philippines-current-state-and-future-roadmap/</t>
  </si>
  <si>
    <t>Target RE share 2030</t>
  </si>
  <si>
    <t>2040 RE Capacity Goal</t>
  </si>
  <si>
    <t>Target RE share 2040</t>
  </si>
  <si>
    <t>Installed Capacity Requirement (Solar)</t>
  </si>
  <si>
    <t>Installed Capacity Requirement (Wind)</t>
  </si>
  <si>
    <t>Required Additional RE Capacity Solar 2040</t>
  </si>
  <si>
    <t>Required Additional RE Capacity Wind 2040</t>
  </si>
  <si>
    <t>Solar Power Density</t>
  </si>
  <si>
    <t>MW/ha</t>
  </si>
  <si>
    <t>Bolinger et al.</t>
  </si>
  <si>
    <t>Min Solar Panels Required per MW</t>
  </si>
  <si>
    <t>panels/MW</t>
  </si>
  <si>
    <t>https://www.eerenewables.co.uk/solar-guides/how-many-solar-panels-needed-to-generate-1-megawatt/#:~:text=To%20hit%20a%201%20MW,space%20requirements%2C%20and%20future%20maintenance.</t>
  </si>
  <si>
    <t>Max Solar Panels Required per MW</t>
  </si>
  <si>
    <t>Land Requirement Solar</t>
  </si>
  <si>
    <t>hectares</t>
  </si>
  <si>
    <t>Solar Panels Required (Min)</t>
  </si>
  <si>
    <t>panels</t>
  </si>
  <si>
    <t>Solar Panels Required (Max)</t>
  </si>
  <si>
    <t>Wind Power Land Footprint</t>
  </si>
  <si>
    <t>ha/MW</t>
  </si>
  <si>
    <t>https://docs.nrel.gov/docs/fy09osti/45834.pdf</t>
  </si>
  <si>
    <t>Min Wind Turbines Required per MW</t>
  </si>
  <si>
    <t>MW/turbine</t>
  </si>
  <si>
    <t>Max Wind Turbines Required per MW</t>
  </si>
  <si>
    <t>Land Requirement Wind</t>
  </si>
  <si>
    <t>Turbines Panels Required (Min)</t>
  </si>
  <si>
    <t>turbines</t>
  </si>
  <si>
    <t>Turbines Panels Required (Max)</t>
  </si>
  <si>
    <t>Solar CAPEX</t>
  </si>
  <si>
    <t>EUR</t>
  </si>
  <si>
    <t>Wind CAPEX</t>
  </si>
  <si>
    <t>E-fuel CAPEX</t>
  </si>
  <si>
    <t>E-fuel OPEX</t>
  </si>
  <si>
    <t>eur per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</si>
</sst>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" numFmtId="4" xfId="0" applyFont="1" applyNumberFormat="1"/>
    <xf borderId="0" fillId="2" fontId="1" numFmtId="4" xfId="0" applyAlignment="1" applyFill="1" applyFont="1" applyNumberFormat="1">
      <alignment readingOrder="0"/>
    </xf>
    <xf borderId="0" fillId="2" fontId="1" numFmtId="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globaleconomy.com/rankings/jet_fuel_consumption/" TargetMode="External"/><Relationship Id="rId2" Type="http://schemas.openxmlformats.org/officeDocument/2006/relationships/hyperlink" Target="https://www.wssenergy.com/post/is-e-fuel-production-a-responsible-way-to-use-renewable-energy%3F" TargetMode="External"/><Relationship Id="rId3" Type="http://schemas.openxmlformats.org/officeDocument/2006/relationships/hyperlink" Target="https://www.withersworldwide.com/en-gb/insight/read/key-considerations-for-renewable-energy-investments-in-the-philippines" TargetMode="External"/><Relationship Id="rId4" Type="http://schemas.openxmlformats.org/officeDocument/2006/relationships/hyperlink" Target="https://aboitizpower.com/news/power-generation/powering-the-philippine-economy-electricity-generation-in-economic-development" TargetMode="External"/><Relationship Id="rId5" Type="http://schemas.openxmlformats.org/officeDocument/2006/relationships/hyperlink" Target="https://energytracker.asia/renewable-energy-in-the-philippines-current-state-and-future-roadmap/" TargetMode="External"/><Relationship Id="rId6" Type="http://schemas.openxmlformats.org/officeDocument/2006/relationships/hyperlink" Target="https://www.eerenewables.co.uk/solar-guides/how-many-solar-panels-needed-to-generate-1-megawatt/" TargetMode="External"/><Relationship Id="rId7" Type="http://schemas.openxmlformats.org/officeDocument/2006/relationships/hyperlink" Target="https://docs.nrel.gov/docs/fy09osti/45834.pdf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3" max="3" width="20.13"/>
    <col customWidth="1" min="4" max="4" width="50.38"/>
    <col customWidth="1" min="5" max="5" width="39.63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 t="s">
        <v>4</v>
      </c>
      <c r="B3" s="1">
        <v>33700.0</v>
      </c>
      <c r="C3" s="1" t="s">
        <v>5</v>
      </c>
      <c r="D3" s="2" t="s">
        <v>6</v>
      </c>
    </row>
    <row r="4">
      <c r="A4" s="1" t="s">
        <v>7</v>
      </c>
      <c r="B4" s="1">
        <v>4.9</v>
      </c>
      <c r="C4" s="1" t="s">
        <v>8</v>
      </c>
      <c r="D4" s="3"/>
    </row>
    <row r="5">
      <c r="A5" s="1" t="s">
        <v>9</v>
      </c>
      <c r="B5" s="1">
        <v>10.0</v>
      </c>
      <c r="C5" s="1" t="s">
        <v>10</v>
      </c>
      <c r="D5" s="2" t="s">
        <v>11</v>
      </c>
    </row>
    <row r="6">
      <c r="A6" s="1" t="s">
        <v>12</v>
      </c>
      <c r="B6" s="1">
        <v>25.2</v>
      </c>
      <c r="C6" s="1" t="s">
        <v>10</v>
      </c>
      <c r="D6" s="3"/>
    </row>
    <row r="7">
      <c r="A7" s="1" t="s">
        <v>13</v>
      </c>
      <c r="B7" s="1">
        <v>0.4</v>
      </c>
      <c r="C7" s="1" t="s">
        <v>14</v>
      </c>
      <c r="D7" s="3"/>
    </row>
    <row r="8">
      <c r="A8" s="4" t="s">
        <v>15</v>
      </c>
      <c r="B8" s="5">
        <f>B6*B7</f>
        <v>10.08</v>
      </c>
      <c r="C8" s="4" t="s">
        <v>10</v>
      </c>
      <c r="D8" s="3"/>
    </row>
    <row r="9">
      <c r="A9" s="4" t="s">
        <v>16</v>
      </c>
      <c r="B9" s="5">
        <f>B3*B4</f>
        <v>165130</v>
      </c>
      <c r="C9" s="4" t="s">
        <v>8</v>
      </c>
      <c r="D9" s="3"/>
    </row>
    <row r="10">
      <c r="A10" s="4" t="s">
        <v>17</v>
      </c>
      <c r="B10" s="5">
        <f>B8*B9/1000</f>
        <v>1664.5104</v>
      </c>
      <c r="C10" s="4" t="s">
        <v>18</v>
      </c>
      <c r="D10" s="3"/>
    </row>
    <row r="11">
      <c r="A11" s="1" t="s">
        <v>19</v>
      </c>
      <c r="B11" s="1">
        <v>122.0</v>
      </c>
      <c r="C11" s="1" t="s">
        <v>20</v>
      </c>
      <c r="D11" s="3"/>
    </row>
    <row r="12">
      <c r="A12" s="1" t="s">
        <v>21</v>
      </c>
      <c r="B12" s="1">
        <v>31.0</v>
      </c>
      <c r="C12" s="1" t="s">
        <v>20</v>
      </c>
      <c r="D12" s="2" t="s">
        <v>22</v>
      </c>
    </row>
    <row r="13">
      <c r="A13" s="1" t="s">
        <v>23</v>
      </c>
      <c r="B13" s="1">
        <v>1443.0</v>
      </c>
      <c r="C13" s="1" t="s">
        <v>18</v>
      </c>
      <c r="D13" s="3"/>
    </row>
    <row r="14">
      <c r="A14" s="1" t="s">
        <v>24</v>
      </c>
      <c r="B14" s="1">
        <v>178.0</v>
      </c>
      <c r="C14" s="1" t="s">
        <v>20</v>
      </c>
      <c r="D14" s="3"/>
    </row>
    <row r="15">
      <c r="A15" s="1" t="s">
        <v>25</v>
      </c>
      <c r="B15" s="1">
        <v>89.0</v>
      </c>
      <c r="C15" s="1" t="s">
        <v>20</v>
      </c>
      <c r="D15" s="3"/>
    </row>
    <row r="16">
      <c r="A16" s="1" t="s">
        <v>26</v>
      </c>
      <c r="B16" s="1">
        <v>443.0</v>
      </c>
      <c r="C16" s="1" t="s">
        <v>18</v>
      </c>
      <c r="D16" s="3"/>
    </row>
    <row r="17">
      <c r="A17" s="1" t="s">
        <v>27</v>
      </c>
      <c r="B17" s="1">
        <v>8400.0</v>
      </c>
      <c r="C17" s="1" t="s">
        <v>18</v>
      </c>
      <c r="D17" s="3"/>
    </row>
    <row r="18">
      <c r="A18" s="1" t="s">
        <v>28</v>
      </c>
      <c r="B18" s="1">
        <v>0.2</v>
      </c>
      <c r="C18" s="3"/>
      <c r="D18" s="3"/>
    </row>
    <row r="19">
      <c r="A19" s="1" t="s">
        <v>29</v>
      </c>
      <c r="B19" s="1">
        <v>0.3</v>
      </c>
      <c r="C19" s="1"/>
      <c r="D19" s="2" t="s">
        <v>30</v>
      </c>
    </row>
    <row r="20">
      <c r="A20" s="1" t="s">
        <v>31</v>
      </c>
      <c r="B20" s="1">
        <v>8.4</v>
      </c>
      <c r="C20" s="1" t="s">
        <v>20</v>
      </c>
      <c r="D20" s="3"/>
    </row>
    <row r="21">
      <c r="A21" s="1" t="s">
        <v>32</v>
      </c>
      <c r="B21" s="1">
        <v>0.22</v>
      </c>
      <c r="C21" s="3"/>
      <c r="D21" s="3"/>
    </row>
    <row r="22">
      <c r="A22" s="1" t="s">
        <v>33</v>
      </c>
      <c r="B22" s="1">
        <v>15.3</v>
      </c>
      <c r="C22" s="1" t="s">
        <v>20</v>
      </c>
      <c r="D22" s="2" t="s">
        <v>34</v>
      </c>
    </row>
    <row r="23">
      <c r="A23" s="1" t="s">
        <v>35</v>
      </c>
      <c r="B23" s="1">
        <v>0.35</v>
      </c>
      <c r="C23" s="3"/>
      <c r="D23" s="3"/>
    </row>
    <row r="24">
      <c r="A24" s="1" t="s">
        <v>36</v>
      </c>
      <c r="B24" s="1">
        <v>20.0</v>
      </c>
      <c r="C24" s="1" t="s">
        <v>20</v>
      </c>
      <c r="D24" s="3"/>
    </row>
    <row r="25">
      <c r="A25" s="1" t="s">
        <v>37</v>
      </c>
      <c r="B25" s="1">
        <v>0.5</v>
      </c>
      <c r="C25" s="3"/>
      <c r="D25" s="3"/>
      <c r="Q25" s="6">
        <f>1/0.87</f>
        <v>1.149425287</v>
      </c>
    </row>
    <row r="26">
      <c r="A26" s="4" t="s">
        <v>38</v>
      </c>
      <c r="B26" s="5">
        <f>B10/B18</f>
        <v>8322.552</v>
      </c>
      <c r="C26" s="4" t="s">
        <v>18</v>
      </c>
      <c r="D26" s="3"/>
    </row>
    <row r="27">
      <c r="A27" s="4" t="s">
        <v>39</v>
      </c>
      <c r="B27" s="5">
        <f>B10/B19</f>
        <v>5548.368</v>
      </c>
      <c r="C27" s="4" t="s">
        <v>18</v>
      </c>
      <c r="D27" s="3"/>
    </row>
    <row r="28">
      <c r="A28" s="4" t="s">
        <v>40</v>
      </c>
      <c r="B28" s="5">
        <f>B26/(B24*1000)</f>
        <v>0.4161276</v>
      </c>
      <c r="C28" s="5"/>
      <c r="D28" s="3"/>
    </row>
    <row r="29">
      <c r="A29" s="4" t="s">
        <v>41</v>
      </c>
      <c r="B29" s="5">
        <f>B27/(B24*1000)</f>
        <v>0.2774184</v>
      </c>
      <c r="C29" s="5"/>
      <c r="D29" s="3"/>
    </row>
    <row r="30">
      <c r="A30" s="1" t="s">
        <v>42</v>
      </c>
      <c r="B30" s="1">
        <v>0.87</v>
      </c>
      <c r="C30" s="1" t="s">
        <v>43</v>
      </c>
      <c r="D30" s="1" t="s">
        <v>44</v>
      </c>
    </row>
    <row r="31">
      <c r="A31" s="1" t="s">
        <v>45</v>
      </c>
      <c r="B31" s="1">
        <v>2200.0</v>
      </c>
      <c r="C31" s="1" t="s">
        <v>46</v>
      </c>
      <c r="D31" s="2" t="s">
        <v>47</v>
      </c>
    </row>
    <row r="32">
      <c r="A32" s="1" t="s">
        <v>48</v>
      </c>
      <c r="B32" s="1">
        <v>2800.0</v>
      </c>
      <c r="C32" s="1" t="s">
        <v>46</v>
      </c>
      <c r="D32" s="3"/>
    </row>
    <row r="33">
      <c r="A33" s="4" t="s">
        <v>49</v>
      </c>
      <c r="B33" s="5">
        <f>B26/0.87</f>
        <v>9566.151724</v>
      </c>
      <c r="C33" s="4" t="s">
        <v>50</v>
      </c>
      <c r="D33" s="3"/>
    </row>
    <row r="34">
      <c r="A34" s="4" t="s">
        <v>51</v>
      </c>
      <c r="B34" s="5">
        <f>B31*B26</f>
        <v>18309614.4</v>
      </c>
      <c r="C34" s="4" t="s">
        <v>52</v>
      </c>
      <c r="D34" s="3"/>
    </row>
    <row r="35">
      <c r="A35" s="4" t="s">
        <v>53</v>
      </c>
      <c r="B35" s="5">
        <f>B26*B32</f>
        <v>23303145.6</v>
      </c>
      <c r="C35" s="4" t="s">
        <v>52</v>
      </c>
      <c r="D35" s="3"/>
    </row>
    <row r="36">
      <c r="A36" s="1" t="s">
        <v>54</v>
      </c>
      <c r="B36" s="1">
        <v>34.0</v>
      </c>
      <c r="C36" s="1" t="s">
        <v>55</v>
      </c>
      <c r="D36" s="2" t="s">
        <v>56</v>
      </c>
    </row>
    <row r="37">
      <c r="A37" s="1" t="s">
        <v>57</v>
      </c>
      <c r="B37" s="7">
        <v>2.0</v>
      </c>
      <c r="C37" s="7" t="s">
        <v>58</v>
      </c>
    </row>
    <row r="38">
      <c r="A38" s="1" t="s">
        <v>59</v>
      </c>
      <c r="B38" s="7">
        <v>3.0</v>
      </c>
      <c r="C38" s="7" t="s">
        <v>58</v>
      </c>
    </row>
    <row r="39">
      <c r="A39" s="4" t="s">
        <v>60</v>
      </c>
      <c r="B39" s="5">
        <f>B36*B27</f>
        <v>188644.512</v>
      </c>
      <c r="C39" s="4" t="s">
        <v>50</v>
      </c>
    </row>
    <row r="40">
      <c r="A40" s="4" t="s">
        <v>61</v>
      </c>
      <c r="B40" s="5">
        <f>B27/B37</f>
        <v>2774.184</v>
      </c>
      <c r="C40" s="4" t="s">
        <v>62</v>
      </c>
    </row>
    <row r="41">
      <c r="A41" s="4" t="s">
        <v>63</v>
      </c>
      <c r="B41" s="5">
        <f>B27/B38</f>
        <v>1849.456</v>
      </c>
      <c r="C41" s="4" t="s">
        <v>62</v>
      </c>
    </row>
    <row r="43">
      <c r="B43" s="7">
        <v>2030.0</v>
      </c>
      <c r="C43" s="7">
        <v>2050.0</v>
      </c>
    </row>
    <row r="44">
      <c r="A44" s="8" t="s">
        <v>64</v>
      </c>
      <c r="B44" s="9">
        <v>3.57869736E9</v>
      </c>
      <c r="C44" s="9">
        <v>2.74644216E9</v>
      </c>
      <c r="D44" s="7" t="s">
        <v>65</v>
      </c>
    </row>
    <row r="45">
      <c r="A45" s="8" t="s">
        <v>66</v>
      </c>
      <c r="B45" s="9">
        <v>6.71352528E9</v>
      </c>
      <c r="C45" s="9">
        <v>5.38191696E9</v>
      </c>
      <c r="D45" s="7" t="s">
        <v>65</v>
      </c>
    </row>
    <row r="46">
      <c r="A46" s="8" t="s">
        <v>67</v>
      </c>
      <c r="B46" s="9">
        <v>1.22955798E9</v>
      </c>
      <c r="C46" s="9">
        <v>6.5094246E8</v>
      </c>
      <c r="D46" s="7" t="s">
        <v>65</v>
      </c>
    </row>
    <row r="47">
      <c r="A47" s="8" t="s">
        <v>68</v>
      </c>
      <c r="B47" s="9">
        <v>2.39763806E8</v>
      </c>
      <c r="C47" s="9">
        <v>1.2693378E8</v>
      </c>
      <c r="D47" s="7" t="s">
        <v>69</v>
      </c>
    </row>
  </sheetData>
  <hyperlinks>
    <hyperlink r:id="rId1" ref="D3"/>
    <hyperlink r:id="rId2" ref="D5"/>
    <hyperlink r:id="rId3" location=":~:text=A%20powerhouse%20of%20potential,with%20only%201%2C190%20megawatts%20developed." ref="D12"/>
    <hyperlink r:id="rId4" location=":~:text=Intermittencies%20can%20be%20evident%20in,them%20commercially%20uncompetitive%20against%20nonrenewables." ref="D19"/>
    <hyperlink r:id="rId5" ref="D22"/>
    <hyperlink r:id="rId6" location=":~:text=To%20hit%20a%201%20MW,space%20requirements%2C%20and%20future%20maintenance." ref="D31"/>
    <hyperlink r:id="rId7" ref="D36"/>
  </hyperlinks>
  <drawing r:id="rId8"/>
</worksheet>
</file>